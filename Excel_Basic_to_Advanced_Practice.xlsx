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aashi\Downloads\"/>
    </mc:Choice>
  </mc:AlternateContent>
  <xr:revisionPtr revIDLastSave="0" documentId="13_ncr:1_{22A224DE-905B-4B43-9DB0-EF44545330AC}" xr6:coauthVersionLast="47" xr6:coauthVersionMax="47" xr10:uidLastSave="{00000000-0000-0000-0000-000000000000}"/>
  <bookViews>
    <workbookView xWindow="-108" yWindow="-108" windowWidth="23256" windowHeight="12456" firstSheet="1" activeTab="1" xr2:uid="{00000000-000D-0000-FFFF-FFFF00000000}"/>
  </bookViews>
  <sheets>
    <sheet name="Basic_Data" sheetId="1" r:id="rId1"/>
    <sheet name="Intermediate_Data" sheetId="2" r:id="rId2"/>
    <sheet name="Sheet6" sheetId="10" r:id="rId3"/>
    <sheet name="Sheet7" sheetId="11" r:id="rId4"/>
    <sheet name="Sheet8" sheetId="12" r:id="rId5"/>
    <sheet name="Dashboard sheet " sheetId="13" r:id="rId6"/>
    <sheet name="Advanced_Data" sheetId="3" r:id="rId7"/>
    <sheet name="Questions" sheetId="4" r:id="rId8"/>
  </sheets>
  <definedNames>
    <definedName name="_xlnm._FilterDatabase" localSheetId="1" hidden="1">Intermediate_Data!$A$1:$H$8</definedName>
    <definedName name="Slicer_Product">#N/A</definedName>
    <definedName name="Slicer_Region">#N/A</definedName>
  </definedNames>
  <calcPr calcId="191029" concurrentCalc="0"/>
  <pivotCaches>
    <pivotCache cacheId="22" r:id="rId9"/>
    <pivotCache cacheId="34"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13" l="1"/>
  <c r="H8" i="13"/>
  <c r="H7" i="13"/>
  <c r="H6" i="13"/>
  <c r="G3" i="3"/>
  <c r="G2" i="3"/>
  <c r="D8" i="3"/>
  <c r="H4" i="2"/>
  <c r="H3" i="2"/>
  <c r="G2" i="2"/>
  <c r="F3" i="2"/>
  <c r="F4" i="2"/>
  <c r="F5" i="2"/>
  <c r="F6" i="2"/>
  <c r="F2" i="2"/>
  <c r="I2" i="1"/>
  <c r="I3" i="1"/>
  <c r="I4" i="1"/>
  <c r="I5" i="1"/>
  <c r="I6" i="1"/>
  <c r="H2" i="1"/>
  <c r="G4" i="1"/>
  <c r="G5" i="1"/>
  <c r="G6" i="1"/>
  <c r="G3" i="1"/>
  <c r="G2" i="1"/>
  <c r="F3" i="1"/>
  <c r="F4" i="1"/>
  <c r="F5" i="1"/>
  <c r="F6" i="1"/>
  <c r="F2" i="1"/>
</calcChain>
</file>

<file path=xl/sharedStrings.xml><?xml version="1.0" encoding="utf-8"?>
<sst xmlns="http://schemas.openxmlformats.org/spreadsheetml/2006/main" count="84" uniqueCount="62">
  <si>
    <t>Student_ID</t>
  </si>
  <si>
    <t>Name</t>
  </si>
  <si>
    <t>Maths</t>
  </si>
  <si>
    <t>Science</t>
  </si>
  <si>
    <t>English</t>
  </si>
  <si>
    <t>Aman</t>
  </si>
  <si>
    <t>Riya</t>
  </si>
  <si>
    <t>Karan</t>
  </si>
  <si>
    <t>Simran</t>
  </si>
  <si>
    <t>Rahul</t>
  </si>
  <si>
    <t>Emp_ID</t>
  </si>
  <si>
    <t>Department</t>
  </si>
  <si>
    <t>Salary</t>
  </si>
  <si>
    <t>Experience_Years</t>
  </si>
  <si>
    <t>Bonus</t>
  </si>
  <si>
    <t>HR</t>
  </si>
  <si>
    <t>IT</t>
  </si>
  <si>
    <t>Finance</t>
  </si>
  <si>
    <t>Order_ID</t>
  </si>
  <si>
    <t>Region</t>
  </si>
  <si>
    <t>Product</t>
  </si>
  <si>
    <t>Sales</t>
  </si>
  <si>
    <t>Quantity</t>
  </si>
  <si>
    <t>North</t>
  </si>
  <si>
    <t>Laptop</t>
  </si>
  <si>
    <t>South</t>
  </si>
  <si>
    <t>Mobile</t>
  </si>
  <si>
    <t>East</t>
  </si>
  <si>
    <t>Tablet</t>
  </si>
  <si>
    <t>West</t>
  </si>
  <si>
    <t>BASIC LEVEL QUESTIONS</t>
  </si>
  <si>
    <t>1. Calculate Total Marks for each student.</t>
  </si>
  <si>
    <t>2. Find Average Marks of each student.</t>
  </si>
  <si>
    <t>3. Find Highest Marks in Maths.</t>
  </si>
  <si>
    <t>4. Use IF formula to assign Pass/Fail (Pass if avg &gt;= 75).</t>
  </si>
  <si>
    <t>INTERMEDIATE LEVEL QUESTIONS</t>
  </si>
  <si>
    <t>5. Calculate Total Salary including Bonus.</t>
  </si>
  <si>
    <t>6. Find Average Salary department-wise (use Pivot Table).</t>
  </si>
  <si>
    <t>7. Find employees with experience &gt; 3 years (use FILTER).</t>
  </si>
  <si>
    <t>8. Use VLOOKUP or XLOOKUP to find salary of Emp_ID 103.</t>
  </si>
  <si>
    <t>ADVANCED LEVEL QUESTIONS</t>
  </si>
  <si>
    <t>9. Calculate Total Sales amount.</t>
  </si>
  <si>
    <t>10. Find Region-wise Sales using Pivot Table.</t>
  </si>
  <si>
    <t>11. Find Top 2 highest Sales orders.</t>
  </si>
  <si>
    <t>12. Create a Dashboard with charts for Sales by Region and Product.</t>
  </si>
  <si>
    <t>total marks</t>
  </si>
  <si>
    <t>average marks</t>
  </si>
  <si>
    <t>highest marks</t>
  </si>
  <si>
    <t>total salary including bonus</t>
  </si>
  <si>
    <t>Row Labels</t>
  </si>
  <si>
    <t>Grand Total</t>
  </si>
  <si>
    <t>total sales</t>
  </si>
  <si>
    <t>(blank)</t>
  </si>
  <si>
    <t>Sum of Sales</t>
  </si>
  <si>
    <t>KPI</t>
  </si>
  <si>
    <t>Values</t>
  </si>
  <si>
    <t>Total Sales</t>
  </si>
  <si>
    <t>Average Sales</t>
  </si>
  <si>
    <t>Highest Sales</t>
  </si>
  <si>
    <t>Orders</t>
  </si>
  <si>
    <t>[chart:Sales by region]</t>
  </si>
  <si>
    <t>[chart:Sales by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</si>
</sst>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8"/>
      <color theme="1"/>
      <name val="Calibri"/>
      <family val="2"/>
      <scheme val="minor"/>
    </font>
  </fonts>
  <fills count="3">
    <fill>
      <patternFill patternType="none"/>
    </fill>
    <fill>
      <patternFill patternType="gray125"/>
    </fill>
    <fill>
      <patternFill patternType="solid">
        <fgColor theme="3" tint="0.39997558519241921"/>
        <bgColor indexed="64"/>
      </patternFill>
    </fill>
  </fills>
  <borders count="3">
    <border>
      <left/>
      <right/>
      <top/>
      <bottom/>
      <diagonal/>
    </border>
    <border>
      <left/>
      <right/>
      <top style="thin">
        <color indexed="64"/>
      </top>
      <bottom/>
      <diagonal/>
    </border>
    <border>
      <left/>
      <right/>
      <top/>
      <bottom style="thin">
        <color indexed="64"/>
      </bottom>
      <diagonal/>
    </border>
  </borders>
  <cellStyleXfs count="1">
    <xf numFmtId="0" fontId="0" fillId="0" borderId="0"/>
  </cellStyleXfs>
  <cellXfs count="9">
    <xf numFmtId="0" fontId="0" fillId="0" borderId="0" xfId="0"/>
    <xf numFmtId="0" fontId="0" fillId="0" borderId="0" xfId="0" applyNumberFormat="1"/>
    <xf numFmtId="0" fontId="0" fillId="0" borderId="0" xfId="0" pivotButton="1"/>
    <xf numFmtId="0" fontId="0" fillId="0" borderId="0" xfId="0" applyAlignment="1">
      <alignment horizontal="left"/>
    </xf>
    <xf numFmtId="0" fontId="1" fillId="0" borderId="0" xfId="0" applyFont="1"/>
    <xf numFmtId="0" fontId="0" fillId="2" borderId="0" xfId="0" applyFill="1"/>
    <xf numFmtId="0" fontId="2" fillId="2" borderId="1" xfId="0" applyFont="1" applyFill="1" applyBorder="1"/>
    <xf numFmtId="0" fontId="2" fillId="2" borderId="0" xfId="0" applyFont="1" applyFill="1" applyBorder="1"/>
    <xf numFmtId="0" fontId="2" fillId="2" borderId="2" xfId="0" applyFont="1" applyFill="1" applyBorder="1"/>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[Excel_Basic_to_Advanced_Practice.xlsx]Sheet7!PivotTable10</c:name>
    <c:fmtId val="2"/>
  </c:pivotSource>
  <c:chart>
    <c:title>
      <c:overlay val="0"/>
      <c:spPr>
        <a:noFill/>
        <a:ln>
          <a:noFill/>
        </a:ln>
        <a:effectLst/>
      </c:spPr>
      <c:txPr>
        <a:bodyPr rot="0" spcFirstLastPara="1" vertOverflow="ellipsis" vert="horz" wrap="square" anchor="ctr" anchorCtr="1"/>
        <a:lstStyle/>
        <a:p>
          <a:pPr>
            <a:defRPr sz="1400" b="0"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1"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Sheet7!$B$3</c:f>
              <c:strCache>
                <c:ptCount val="1"/>
                <c:pt idx="0">
                  <c:v>Total</c:v>
                </c:pt>
              </c:strCache>
            </c:strRef>
          </c:tx>
          <c:spPr>
            <a:solidFill>
              <a:schemeClr val="accent1"/>
            </a:solidFill>
            <a:ln>
              <a:noFill/>
            </a:ln>
            <a:effectLst/>
            <a:sp3d/>
          </c:spPr>
          <c:invertIfNegative val="0"/>
          <c:cat>
            <c:strRef>
              <c:f>Sheet7!$A$4:$A$8</c:f>
              <c:strCache>
                <c:ptCount val="4"/>
                <c:pt idx="0">
                  <c:v>East</c:v>
                </c:pt>
                <c:pt idx="1">
                  <c:v>North</c:v>
                </c:pt>
                <c:pt idx="2">
                  <c:v>South</c:v>
                </c:pt>
                <c:pt idx="3">
                  <c:v>West</c:v>
                </c:pt>
              </c:strCache>
            </c:strRef>
          </c:cat>
          <c:val>
            <c:numRef>
              <c:f>Sheet7!$B$4:$B$8</c:f>
              <c:numCache>
                <c:formatCode>General</c:formatCode>
                <c:ptCount val="4"/>
                <c:pt idx="0">
                  <c:v>30000</c:v>
                </c:pt>
                <c:pt idx="1">
                  <c:v>125000</c:v>
                </c:pt>
                <c:pt idx="2">
                  <c:v>40000</c:v>
                </c:pt>
                <c:pt idx="3">
                  <c:v>90000</c:v>
                </c:pt>
              </c:numCache>
            </c:numRef>
          </c:val>
          <c:extLst>
            <c:ext xmlns:c16="http://schemas.microsoft.com/office/drawing/2014/chart" uri="{C3380CC4-5D6E-409C-BE32-E72D297353CC}">
              <c16:uniqueId val="{00000000-15A3-42DF-9B72-ABE3657E885A}"/>
            </c:ext>
          </c:extLst>
        </c:ser>
        <c:dLbls>
          <c:showLegendKey val="0"/>
          <c:showVal val="0"/>
          <c:showCatName val="0"/>
          <c:showSerName val="0"/>
          <c:showPercent val="0"/>
          <c:showBubbleSize val="0"/>
        </c:dLbls>
        <c:gapWidth val="219"/>
        <c:shape val="box"/>
        <c:axId val="506185263"/>
        <c:axId val="506186703"/>
        <c:axId val="0"/>
      </c:bar3DChart>
      <c:catAx>
        <c:axId val="506185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1" u="none" strike="noStrike" kern="1200" baseline="0">
                <a:solidFill>
                  <a:schemeClr val="tx1">
                    <a:lumMod val="65000"/>
                    <a:lumOff val="35000"/>
                  </a:schemeClr>
                </a:solidFill>
                <a:latin typeface="+mn-lt"/>
                <a:ea typeface="+mn-ea"/>
                <a:cs typeface="+mn-cs"/>
              </a:defRPr>
            </a:pPr>
            <a:endParaRPr lang="en-US"/>
          </a:p>
        </c:txPr>
        <c:crossAx val="506186703"/>
        <c:crosses val="autoZero"/>
        <c:auto val="1"/>
        <c:lblAlgn val="ctr"/>
        <c:lblOffset val="100"/>
        <c:noMultiLvlLbl val="0"/>
      </c:catAx>
      <c:valAx>
        <c:axId val="506186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1" u="none" strike="noStrike" kern="1200" baseline="0">
                <a:solidFill>
                  <a:schemeClr val="tx1">
                    <a:lumMod val="65000"/>
                    <a:lumOff val="35000"/>
                  </a:schemeClr>
                </a:solidFill>
                <a:latin typeface="+mn-lt"/>
                <a:ea typeface="+mn-ea"/>
                <a:cs typeface="+mn-cs"/>
              </a:defRPr>
            </a:pPr>
            <a:endParaRPr lang="en-US"/>
          </a:p>
        </c:txPr>
        <c:crossAx val="506185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1"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alpha val="67000"/>
        </a:schemeClr>
      </a:solidFill>
      <a:round/>
    </a:ln>
    <a:effectLst/>
  </c:spPr>
  <c:txPr>
    <a:bodyPr/>
    <a:lstStyle/>
    <a:p>
      <a:pPr>
        <a:defRPr b="0" i="1"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[Excel_Basic_to_Advanced_Practice.xlsx]Sheet8!PivotTable11</c:name>
    <c:fmtId val="1"/>
  </c:pivotSource>
  <c:chart>
    <c:title>
      <c:layout>
        <c:manualLayout>
          <c:xMode val="edge"/>
          <c:yMode val="edge"/>
          <c:x val="0.66359729895641495"/>
          <c:y val="7.0211081877732714E-2"/>
        </c:manualLayout>
      </c:layout>
      <c:overlay val="0"/>
      <c:spPr>
        <a:noFill/>
        <a:ln>
          <a:noFill/>
        </a:ln>
        <a:effectLst/>
      </c:spPr>
      <c:txPr>
        <a:bodyPr rot="0" spcFirstLastPara="1" vertOverflow="ellipsis" vert="horz" wrap="square" anchor="ctr" anchorCtr="1"/>
        <a:lstStyle/>
        <a:p>
          <a:pPr>
            <a:defRPr sz="1400" b="0"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1"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865552520220687"/>
          <c:y val="0.21209515072751828"/>
          <c:w val="0.73926582573559885"/>
          <c:h val="0.58344879918796133"/>
        </c:manualLayout>
      </c:layout>
      <c:bar3DChart>
        <c:barDir val="col"/>
        <c:grouping val="stacked"/>
        <c:varyColors val="0"/>
        <c:ser>
          <c:idx val="0"/>
          <c:order val="0"/>
          <c:tx>
            <c:strRef>
              <c:f>Sheet8!$B$3</c:f>
              <c:strCache>
                <c:ptCount val="1"/>
                <c:pt idx="0">
                  <c:v>Total</c:v>
                </c:pt>
              </c:strCache>
            </c:strRef>
          </c:tx>
          <c:spPr>
            <a:solidFill>
              <a:schemeClr val="accent1"/>
            </a:solidFill>
            <a:ln>
              <a:noFill/>
            </a:ln>
            <a:effectLst/>
            <a:sp3d/>
          </c:spPr>
          <c:invertIfNegative val="0"/>
          <c:cat>
            <c:strRef>
              <c:f>Sheet8!$A$4:$A$7</c:f>
              <c:strCache>
                <c:ptCount val="3"/>
                <c:pt idx="0">
                  <c:v>Laptop</c:v>
                </c:pt>
                <c:pt idx="1">
                  <c:v>Mobile</c:v>
                </c:pt>
                <c:pt idx="2">
                  <c:v>Tablet</c:v>
                </c:pt>
              </c:strCache>
            </c:strRef>
          </c:cat>
          <c:val>
            <c:numRef>
              <c:f>Sheet8!$B$4:$B$7</c:f>
              <c:numCache>
                <c:formatCode>General</c:formatCode>
                <c:ptCount val="3"/>
                <c:pt idx="0">
                  <c:v>165000</c:v>
                </c:pt>
                <c:pt idx="1">
                  <c:v>90000</c:v>
                </c:pt>
                <c:pt idx="2">
                  <c:v>30000</c:v>
                </c:pt>
              </c:numCache>
            </c:numRef>
          </c:val>
          <c:extLst>
            <c:ext xmlns:c16="http://schemas.microsoft.com/office/drawing/2014/chart" uri="{C3380CC4-5D6E-409C-BE32-E72D297353CC}">
              <c16:uniqueId val="{00000000-5F0C-4576-9362-51B00845BC5B}"/>
            </c:ext>
          </c:extLst>
        </c:ser>
        <c:dLbls>
          <c:showLegendKey val="0"/>
          <c:showVal val="0"/>
          <c:showCatName val="0"/>
          <c:showSerName val="0"/>
          <c:showPercent val="0"/>
          <c:showBubbleSize val="0"/>
        </c:dLbls>
        <c:gapWidth val="219"/>
        <c:shape val="box"/>
        <c:axId val="500420399"/>
        <c:axId val="500418959"/>
        <c:axId val="0"/>
      </c:bar3DChart>
      <c:catAx>
        <c:axId val="500420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1" u="none" strike="noStrike" kern="1200" baseline="0">
                <a:solidFill>
                  <a:schemeClr val="tx1">
                    <a:lumMod val="65000"/>
                    <a:lumOff val="35000"/>
                  </a:schemeClr>
                </a:solidFill>
                <a:latin typeface="+mn-lt"/>
                <a:ea typeface="+mn-ea"/>
                <a:cs typeface="+mn-cs"/>
              </a:defRPr>
            </a:pPr>
            <a:endParaRPr lang="en-US"/>
          </a:p>
        </c:txPr>
        <c:crossAx val="500418959"/>
        <c:crosses val="autoZero"/>
        <c:auto val="1"/>
        <c:lblAlgn val="ctr"/>
        <c:lblOffset val="100"/>
        <c:noMultiLvlLbl val="0"/>
      </c:catAx>
      <c:valAx>
        <c:axId val="500418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1" u="none" strike="noStrike" kern="1200" baseline="0">
                <a:solidFill>
                  <a:schemeClr val="tx1">
                    <a:lumMod val="65000"/>
                    <a:lumOff val="35000"/>
                  </a:schemeClr>
                </a:solidFill>
                <a:latin typeface="+mn-lt"/>
                <a:ea typeface="+mn-ea"/>
                <a:cs typeface="+mn-cs"/>
              </a:defRPr>
            </a:pPr>
            <a:endParaRPr lang="en-US"/>
          </a:p>
        </c:txPr>
        <c:crossAx val="500420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1"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alpha val="45000"/>
        </a:schemeClr>
      </a:solidFill>
      <a:round/>
    </a:ln>
    <a:effectLst/>
  </c:spPr>
  <c:txPr>
    <a:bodyPr/>
    <a:lstStyle/>
    <a:p>
      <a:pPr>
        <a:defRPr b="0" i="1"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15240</xdr:colOff>
      <xdr:row>12</xdr:row>
      <xdr:rowOff>91440</xdr:rowOff>
    </xdr:from>
    <xdr:to>
      <xdr:col>8</xdr:col>
      <xdr:colOff>45720</xdr:colOff>
      <xdr:row>27</xdr:row>
      <xdr:rowOff>7620</xdr:rowOff>
    </xdr:to>
    <xdr:graphicFrame macro="">
      <xdr:nvGraphicFramePr>
        <xdr:cNvPr id="2" name="Chart 1">
          <a:extLst>
            <a:ext uri="{FF2B5EF4-FFF2-40B4-BE49-F238E27FC236}">
              <a16:creationId xmlns:a16="http://schemas.microsoft.com/office/drawing/2014/main" id="{A429B6D7-C9FE-20F8-591A-BF2EE671AB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358140</xdr:colOff>
      <xdr:row>12</xdr:row>
      <xdr:rowOff>91440</xdr:rowOff>
    </xdr:from>
    <xdr:to>
      <xdr:col>18</xdr:col>
      <xdr:colOff>457200</xdr:colOff>
      <xdr:row>27</xdr:row>
      <xdr:rowOff>15240</xdr:rowOff>
    </xdr:to>
    <xdr:graphicFrame macro="">
      <xdr:nvGraphicFramePr>
        <xdr:cNvPr id="3" name="Chart 1">
          <a:extLst>
            <a:ext uri="{FF2B5EF4-FFF2-40B4-BE49-F238E27FC236}">
              <a16:creationId xmlns:a16="http://schemas.microsoft.com/office/drawing/2014/main" id="{2D2019DF-66A7-6586-BC30-AB68C62F09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365760</xdr:colOff>
      <xdr:row>0</xdr:row>
      <xdr:rowOff>68580</xdr:rowOff>
    </xdr:from>
    <xdr:to>
      <xdr:col>9</xdr:col>
      <xdr:colOff>571500</xdr:colOff>
      <xdr:row>2</xdr:row>
      <xdr:rowOff>137160</xdr:rowOff>
    </xdr:to>
    <xdr:sp macro="" textlink="">
      <xdr:nvSpPr>
        <xdr:cNvPr id="4" name="TextBox 3">
          <a:extLst>
            <a:ext uri="{FF2B5EF4-FFF2-40B4-BE49-F238E27FC236}">
              <a16:creationId xmlns:a16="http://schemas.microsoft.com/office/drawing/2014/main" id="{D5F7BD78-372B-5572-43E1-6A929BBAEC22}"/>
            </a:ext>
          </a:extLst>
        </xdr:cNvPr>
        <xdr:cNvSpPr txBox="1"/>
      </xdr:nvSpPr>
      <xdr:spPr>
        <a:xfrm>
          <a:off x="4884420" y="68580"/>
          <a:ext cx="2034540" cy="43434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FF0000"/>
              </a:solidFill>
            </a:rPr>
            <a:t>Sales Performance Dashboard</a:t>
          </a:r>
        </a:p>
      </xdr:txBody>
    </xdr:sp>
    <xdr:clientData/>
  </xdr:twoCellAnchor>
  <xdr:twoCellAnchor editAs="oneCell">
    <xdr:from>
      <xdr:col>0</xdr:col>
      <xdr:colOff>0</xdr:colOff>
      <xdr:row>27</xdr:row>
      <xdr:rowOff>114300</xdr:rowOff>
    </xdr:from>
    <xdr:to>
      <xdr:col>1</xdr:col>
      <xdr:colOff>358140</xdr:colOff>
      <xdr:row>39</xdr:row>
      <xdr:rowOff>104775</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8B607BA2-7DD0-6288-36AE-682C5C46066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5509260"/>
              <a:ext cx="1828800" cy="21850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769620</xdr:colOff>
      <xdr:row>28</xdr:row>
      <xdr:rowOff>15240</xdr:rowOff>
    </xdr:from>
    <xdr:to>
      <xdr:col>17</xdr:col>
      <xdr:colOff>259080</xdr:colOff>
      <xdr:row>41</xdr:row>
      <xdr:rowOff>104775</xdr:rowOff>
    </xdr:to>
    <mc:AlternateContent xmlns:mc="http://schemas.openxmlformats.org/markup-compatibility/2006">
      <mc:Choice xmlns:a14="http://schemas.microsoft.com/office/drawing/2010/main" Requires="a14">
        <xdr:graphicFrame macro="">
          <xdr:nvGraphicFramePr>
            <xdr:cNvPr id="6" name="Product">
              <a:extLst>
                <a:ext uri="{FF2B5EF4-FFF2-40B4-BE49-F238E27FC236}">
                  <a16:creationId xmlns:a16="http://schemas.microsoft.com/office/drawing/2014/main" id="{F8F3BD64-BB45-86F1-063B-0EF29EF7703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1765280" y="55930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shirwad Madaan" refreshedDate="46084.572915509256" createdVersion="8" refreshedVersion="8" minRefreshableVersion="3" recordCount="7" xr:uid="{815AC27E-3BE2-47B8-9295-2604E224F212}">
  <cacheSource type="worksheet">
    <worksheetSource ref="A1:E8" sheet="Advanced_Data"/>
  </cacheSource>
  <cacheFields count="5">
    <cacheField name="Order_ID" numFmtId="0">
      <sharedItems containsString="0" containsBlank="1" containsNumber="1" containsInteger="1" minValue="1001" maxValue="1005"/>
    </cacheField>
    <cacheField name="Region" numFmtId="0">
      <sharedItems containsBlank="1" count="5">
        <s v="North"/>
        <s v="South"/>
        <s v="East"/>
        <s v="West"/>
        <m/>
      </sharedItems>
    </cacheField>
    <cacheField name="Product" numFmtId="0">
      <sharedItems containsBlank="1"/>
    </cacheField>
    <cacheField name="Sales" numFmtId="0">
      <sharedItems containsMixedTypes="1" containsNumber="1" containsInteger="1" minValue="30000" maxValue="285000" count="7">
        <n v="75000"/>
        <n v="40000"/>
        <n v="30000"/>
        <n v="90000"/>
        <n v="50000"/>
        <s v="total sales"/>
        <n v="285000"/>
      </sharedItems>
    </cacheField>
    <cacheField name="Quantity" numFmtId="0">
      <sharedItems containsString="0" containsBlank="1" containsNumber="1" containsInteger="1" minValue="5" maxValue="1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shirwad Madaan" refreshedDate="46086.600798611114" createdVersion="8" refreshedVersion="8" minRefreshableVersion="3" recordCount="5" xr:uid="{DB179A9D-0A7A-4769-80BC-75B9321172DB}">
  <cacheSource type="worksheet">
    <worksheetSource ref="A1:E6" sheet="Advanced_Data"/>
  </cacheSource>
  <cacheFields count="5">
    <cacheField name="Order_ID" numFmtId="0">
      <sharedItems containsSemiMixedTypes="0" containsString="0" containsNumber="1" containsInteger="1" minValue="1001" maxValue="1005"/>
    </cacheField>
    <cacheField name="Region" numFmtId="0">
      <sharedItems count="4">
        <s v="North"/>
        <s v="South"/>
        <s v="East"/>
        <s v="West"/>
      </sharedItems>
    </cacheField>
    <cacheField name="Product" numFmtId="0">
      <sharedItems count="3">
        <s v="Laptop"/>
        <s v="Mobile"/>
        <s v="Tablet"/>
      </sharedItems>
    </cacheField>
    <cacheField name="Sales" numFmtId="0">
      <sharedItems containsSemiMixedTypes="0" containsString="0" containsNumber="1" containsInteger="1" minValue="30000" maxValue="90000"/>
    </cacheField>
    <cacheField name="Quantity" numFmtId="0">
      <sharedItems containsSemiMixedTypes="0" containsString="0" containsNumber="1" containsInteger="1" minValue="5" maxValue="12"/>
    </cacheField>
  </cacheFields>
  <extLst>
    <ext xmlns:x14="http://schemas.microsoft.com/office/spreadsheetml/2009/9/main" uri="{725AE2AE-9491-48be-B2B4-4EB974FC3084}">
      <x14:pivotCacheDefinition pivotCacheId="5725152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n v="1001"/>
    <x v="0"/>
    <s v="Laptop"/>
    <x v="0"/>
    <n v="5"/>
  </r>
  <r>
    <n v="1002"/>
    <x v="1"/>
    <s v="Mobile"/>
    <x v="1"/>
    <n v="10"/>
  </r>
  <r>
    <n v="1003"/>
    <x v="2"/>
    <s v="Tablet"/>
    <x v="2"/>
    <n v="6"/>
  </r>
  <r>
    <n v="1004"/>
    <x v="3"/>
    <s v="Laptop"/>
    <x v="3"/>
    <n v="7"/>
  </r>
  <r>
    <n v="1005"/>
    <x v="0"/>
    <s v="Mobile"/>
    <x v="4"/>
    <n v="12"/>
  </r>
  <r>
    <m/>
    <x v="4"/>
    <m/>
    <x v="5"/>
    <m/>
  </r>
  <r>
    <m/>
    <x v="4"/>
    <m/>
    <x v="6"/>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n v="1001"/>
    <x v="0"/>
    <x v="0"/>
    <n v="75000"/>
    <n v="5"/>
  </r>
  <r>
    <n v="1002"/>
    <x v="1"/>
    <x v="1"/>
    <n v="40000"/>
    <n v="10"/>
  </r>
  <r>
    <n v="1003"/>
    <x v="2"/>
    <x v="2"/>
    <n v="30000"/>
    <n v="6"/>
  </r>
  <r>
    <n v="1004"/>
    <x v="3"/>
    <x v="0"/>
    <n v="90000"/>
    <n v="7"/>
  </r>
  <r>
    <n v="1005"/>
    <x v="0"/>
    <x v="1"/>
    <n v="50000"/>
    <n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BB9BE3-34D5-4062-A5BE-5021FD5C1F61}" name="PivotTable8"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5">
    <pivotField showAll="0"/>
    <pivotField axis="axisRow" showAll="0">
      <items count="6">
        <item x="2"/>
        <item x="0"/>
        <item x="1"/>
        <item x="3"/>
        <item x="4"/>
        <item t="default"/>
      </items>
    </pivotField>
    <pivotField showAll="0"/>
    <pivotField dataField="1" showAll="0">
      <items count="8">
        <item x="2"/>
        <item x="1"/>
        <item x="4"/>
        <item x="0"/>
        <item x="3"/>
        <item x="6"/>
        <item x="5"/>
        <item t="default"/>
      </items>
    </pivotField>
    <pivotField showAll="0"/>
  </pivotFields>
  <rowFields count="1">
    <field x="1"/>
  </rowFields>
  <rowItems count="6">
    <i>
      <x/>
    </i>
    <i>
      <x v="1"/>
    </i>
    <i>
      <x v="2"/>
    </i>
    <i>
      <x v="3"/>
    </i>
    <i>
      <x v="4"/>
    </i>
    <i t="grand">
      <x/>
    </i>
  </rowItems>
  <colItems count="1">
    <i/>
  </colItems>
  <dataFields count="1">
    <dataField name="Sum of Sales" fld="3"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BDEF94-E754-4912-BF0B-380A668D425D}" name="PivotTable10"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5">
    <pivotField showAll="0"/>
    <pivotField axis="axisRow" showAll="0">
      <items count="5">
        <item x="2"/>
        <item x="0"/>
        <item x="1"/>
        <item x="3"/>
        <item t="default"/>
      </items>
    </pivotField>
    <pivotField showAll="0"/>
    <pivotField dataField="1" showAll="0"/>
    <pivotField showAll="0"/>
  </pivotFields>
  <rowFields count="1">
    <field x="1"/>
  </rowFields>
  <rowItems count="5">
    <i>
      <x/>
    </i>
    <i>
      <x v="1"/>
    </i>
    <i>
      <x v="2"/>
    </i>
    <i>
      <x v="3"/>
    </i>
    <i t="grand">
      <x/>
    </i>
  </rowItems>
  <colItems count="1">
    <i/>
  </colItems>
  <dataFields count="1">
    <dataField name="Sum of Sales" fld="3"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0AAD1F-6B8F-4198-8C3B-CE3D4D81966D}" name="PivotTable11"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5">
    <pivotField showAll="0"/>
    <pivotField showAll="0"/>
    <pivotField axis="axisRow" showAll="0">
      <items count="4">
        <item x="0"/>
        <item x="1"/>
        <item x="2"/>
        <item t="default"/>
      </items>
    </pivotField>
    <pivotField dataField="1" showAll="0"/>
    <pivotField showAll="0"/>
  </pivotFields>
  <rowFields count="1">
    <field x="2"/>
  </rowFields>
  <rowItems count="4">
    <i>
      <x/>
    </i>
    <i>
      <x v="1"/>
    </i>
    <i>
      <x v="2"/>
    </i>
    <i t="grand">
      <x/>
    </i>
  </rowItems>
  <colItems count="1">
    <i/>
  </colItems>
  <dataFields count="1">
    <dataField name="Sum of Sales" fld="3"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F5A84AD-C726-4DAE-9C97-9F2EC7139BD2}" sourceName="Region">
  <pivotTables>
    <pivotTable tabId="11" name="PivotTable10"/>
  </pivotTables>
  <data>
    <tabular pivotCacheId="572515209">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65C1797-A4B8-4E76-B0CE-C559C4C423D8}" sourceName="Product">
  <pivotTables>
    <pivotTable tabId="12" name="PivotTable11"/>
  </pivotTables>
  <data>
    <tabular pivotCacheId="57251520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1A81801-2356-4DA6-8B39-8BFDF622E01B}" cache="Slicer_Region" caption="Region" style="SlicerStyleLight6" rowHeight="234950"/>
  <slicer name="Product" xr10:uid="{45F627DB-A184-45C3-AD2F-68BC596B0121}" cache="Slicer_Product" caption="Product" style="SlicerStyleLight5"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
  <sheetViews>
    <sheetView workbookViewId="0">
      <selection activeCell="I3" sqref="I3"/>
    </sheetView>
  </sheetViews>
  <sheetFormatPr defaultRowHeight="14.4" x14ac:dyDescent="0.3"/>
  <cols>
    <col min="7" max="7" width="16.33203125" customWidth="1"/>
    <col min="8" max="8" width="13.33203125" customWidth="1"/>
  </cols>
  <sheetData>
    <row r="1" spans="1:9" x14ac:dyDescent="0.3">
      <c r="A1" t="s">
        <v>0</v>
      </c>
      <c r="B1" t="s">
        <v>1</v>
      </c>
      <c r="C1" t="s">
        <v>2</v>
      </c>
      <c r="D1" t="s">
        <v>3</v>
      </c>
      <c r="E1" t="s">
        <v>4</v>
      </c>
      <c r="F1" t="s">
        <v>45</v>
      </c>
      <c r="G1" t="s">
        <v>46</v>
      </c>
      <c r="H1" t="s">
        <v>47</v>
      </c>
    </row>
    <row r="2" spans="1:9" x14ac:dyDescent="0.3">
      <c r="A2">
        <v>1</v>
      </c>
      <c r="B2" t="s">
        <v>5</v>
      </c>
      <c r="C2">
        <v>78</v>
      </c>
      <c r="D2">
        <v>85</v>
      </c>
      <c r="E2">
        <v>90</v>
      </c>
      <c r="F2">
        <f>SUM(C2:E2)</f>
        <v>253</v>
      </c>
      <c r="G2">
        <f>ROUND(AVERAGE(C2:E2),2)</f>
        <v>84.33</v>
      </c>
      <c r="H2">
        <f>MAX(C2:C6)</f>
        <v>90</v>
      </c>
      <c r="I2" t="str">
        <f>IF(G2&gt;=70,"pass","fail")</f>
        <v>pass</v>
      </c>
    </row>
    <row r="3" spans="1:9" x14ac:dyDescent="0.3">
      <c r="A3">
        <v>2</v>
      </c>
      <c r="B3" t="s">
        <v>6</v>
      </c>
      <c r="C3">
        <v>88</v>
      </c>
      <c r="D3">
        <v>79</v>
      </c>
      <c r="E3">
        <v>92</v>
      </c>
      <c r="F3">
        <f t="shared" ref="F3:F6" si="0">SUM(C3:E3)</f>
        <v>259</v>
      </c>
      <c r="G3">
        <f>ROUND(AVERAGE(C3:E3),2)</f>
        <v>86.33</v>
      </c>
      <c r="I3" t="str">
        <f t="shared" ref="I3:I6" si="1">IF(G3&gt;=75,"pass","fail")</f>
        <v>pass</v>
      </c>
    </row>
    <row r="4" spans="1:9" x14ac:dyDescent="0.3">
      <c r="A4">
        <v>3</v>
      </c>
      <c r="B4" t="s">
        <v>7</v>
      </c>
      <c r="C4">
        <v>67</v>
      </c>
      <c r="D4">
        <v>72</v>
      </c>
      <c r="E4">
        <v>70</v>
      </c>
      <c r="F4">
        <f t="shared" si="0"/>
        <v>209</v>
      </c>
      <c r="G4">
        <f t="shared" ref="G4:G6" si="2">ROUND(AVERAGE(C4:E4),2)</f>
        <v>69.67</v>
      </c>
      <c r="I4" t="str">
        <f t="shared" si="1"/>
        <v>fail</v>
      </c>
    </row>
    <row r="5" spans="1:9" x14ac:dyDescent="0.3">
      <c r="A5">
        <v>4</v>
      </c>
      <c r="B5" t="s">
        <v>8</v>
      </c>
      <c r="C5">
        <v>90</v>
      </c>
      <c r="D5">
        <v>91</v>
      </c>
      <c r="E5">
        <v>89</v>
      </c>
      <c r="F5">
        <f t="shared" si="0"/>
        <v>270</v>
      </c>
      <c r="G5">
        <f t="shared" si="2"/>
        <v>90</v>
      </c>
      <c r="I5" t="str">
        <f t="shared" si="1"/>
        <v>pass</v>
      </c>
    </row>
    <row r="6" spans="1:9" x14ac:dyDescent="0.3">
      <c r="A6">
        <v>5</v>
      </c>
      <c r="B6" t="s">
        <v>9</v>
      </c>
      <c r="C6">
        <v>76</v>
      </c>
      <c r="D6">
        <v>68</v>
      </c>
      <c r="E6">
        <v>80</v>
      </c>
      <c r="F6">
        <f t="shared" si="0"/>
        <v>224</v>
      </c>
      <c r="G6">
        <f t="shared" si="2"/>
        <v>74.67</v>
      </c>
      <c r="I6" t="str">
        <f t="shared" si="1"/>
        <v>fail</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
  <sheetViews>
    <sheetView tabSelected="1" workbookViewId="0">
      <selection activeCell="G2" sqref="G2"/>
    </sheetView>
  </sheetViews>
  <sheetFormatPr defaultRowHeight="14.4" x14ac:dyDescent="0.3"/>
  <cols>
    <col min="6" max="6" width="28" customWidth="1"/>
    <col min="7" max="7" width="12.5546875" bestFit="1" customWidth="1"/>
    <col min="8" max="8" width="15.77734375" bestFit="1" customWidth="1"/>
  </cols>
  <sheetData>
    <row r="1" spans="1:9" x14ac:dyDescent="0.3">
      <c r="A1" t="s">
        <v>10</v>
      </c>
      <c r="B1" t="s">
        <v>11</v>
      </c>
      <c r="C1" t="s">
        <v>12</v>
      </c>
      <c r="D1" t="s">
        <v>13</v>
      </c>
      <c r="E1" t="s">
        <v>14</v>
      </c>
      <c r="F1" t="s">
        <v>48</v>
      </c>
    </row>
    <row r="2" spans="1:9" x14ac:dyDescent="0.3">
      <c r="A2">
        <v>101</v>
      </c>
      <c r="B2" t="s">
        <v>15</v>
      </c>
      <c r="C2">
        <v>30000</v>
      </c>
      <c r="D2">
        <v>2</v>
      </c>
      <c r="E2">
        <v>2000</v>
      </c>
      <c r="F2">
        <f>SUM(C2,E2)</f>
        <v>32000</v>
      </c>
      <c r="G2">
        <f>VLOOKUP(103,A1:F6,3,FALSE)</f>
        <v>45000</v>
      </c>
      <c r="H2">
        <v>103</v>
      </c>
      <c r="I2">
        <v>2000</v>
      </c>
    </row>
    <row r="3" spans="1:9" x14ac:dyDescent="0.3">
      <c r="A3">
        <v>102</v>
      </c>
      <c r="B3" t="s">
        <v>16</v>
      </c>
      <c r="C3">
        <v>50000</v>
      </c>
      <c r="D3">
        <v>5</v>
      </c>
      <c r="E3">
        <v>5000</v>
      </c>
      <c r="F3">
        <f>SUM(C3,E3)</f>
        <v>55000</v>
      </c>
      <c r="H3">
        <f>VLOOKUP(H2,A1:F6,5,FALSE)</f>
        <v>4000</v>
      </c>
    </row>
    <row r="4" spans="1:9" x14ac:dyDescent="0.3">
      <c r="A4">
        <v>103</v>
      </c>
      <c r="B4" t="s">
        <v>17</v>
      </c>
      <c r="C4">
        <v>45000</v>
      </c>
      <c r="D4">
        <v>4</v>
      </c>
      <c r="E4">
        <v>4000</v>
      </c>
      <c r="F4">
        <f>SUM(C4,E4)</f>
        <v>49000</v>
      </c>
      <c r="H4">
        <f>_xlfn.XLOOKUP(I2,E2:E6,A2:A6)</f>
        <v>101</v>
      </c>
    </row>
    <row r="5" spans="1:9" x14ac:dyDescent="0.3">
      <c r="A5">
        <v>104</v>
      </c>
      <c r="B5" t="s">
        <v>16</v>
      </c>
      <c r="C5">
        <v>60000</v>
      </c>
      <c r="D5">
        <v>6</v>
      </c>
      <c r="E5">
        <v>6000</v>
      </c>
      <c r="F5">
        <f>SUM(C5,E5)</f>
        <v>66000</v>
      </c>
    </row>
    <row r="6" spans="1:9" x14ac:dyDescent="0.3">
      <c r="A6">
        <v>105</v>
      </c>
      <c r="B6" t="s">
        <v>15</v>
      </c>
      <c r="C6">
        <v>35000</v>
      </c>
      <c r="D6">
        <v>3</v>
      </c>
      <c r="E6">
        <v>2500</v>
      </c>
      <c r="F6">
        <f>SUM(C6,E6)</f>
        <v>37500</v>
      </c>
    </row>
  </sheetData>
  <autoFilter ref="A1:H8" xr:uid="{00000000-0001-0000-01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3EE27-B605-403B-8ACC-B599DF4E7117}">
  <dimension ref="A3:B9"/>
  <sheetViews>
    <sheetView workbookViewId="0">
      <selection activeCell="A3" sqref="A3"/>
    </sheetView>
  </sheetViews>
  <sheetFormatPr defaultRowHeight="14.4" x14ac:dyDescent="0.3"/>
  <cols>
    <col min="1" max="1" width="12.5546875" bestFit="1" customWidth="1"/>
    <col min="2" max="2" width="11.6640625" bestFit="1" customWidth="1"/>
  </cols>
  <sheetData>
    <row r="3" spans="1:2" x14ac:dyDescent="0.3">
      <c r="A3" s="2" t="s">
        <v>49</v>
      </c>
      <c r="B3" t="s">
        <v>53</v>
      </c>
    </row>
    <row r="4" spans="1:2" x14ac:dyDescent="0.3">
      <c r="A4" s="3" t="s">
        <v>27</v>
      </c>
      <c r="B4" s="1">
        <v>30000</v>
      </c>
    </row>
    <row r="5" spans="1:2" x14ac:dyDescent="0.3">
      <c r="A5" s="3" t="s">
        <v>23</v>
      </c>
      <c r="B5" s="1">
        <v>125000</v>
      </c>
    </row>
    <row r="6" spans="1:2" x14ac:dyDescent="0.3">
      <c r="A6" s="3" t="s">
        <v>25</v>
      </c>
      <c r="B6" s="1">
        <v>40000</v>
      </c>
    </row>
    <row r="7" spans="1:2" x14ac:dyDescent="0.3">
      <c r="A7" s="3" t="s">
        <v>29</v>
      </c>
      <c r="B7" s="1">
        <v>90000</v>
      </c>
    </row>
    <row r="8" spans="1:2" x14ac:dyDescent="0.3">
      <c r="A8" s="3" t="s">
        <v>52</v>
      </c>
      <c r="B8" s="1">
        <v>285000</v>
      </c>
    </row>
    <row r="9" spans="1:2" x14ac:dyDescent="0.3">
      <c r="A9" s="3" t="s">
        <v>50</v>
      </c>
      <c r="B9" s="1">
        <v>570000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242B9-A608-47E5-8FFC-8A878318820B}">
  <dimension ref="A3:B8"/>
  <sheetViews>
    <sheetView workbookViewId="0">
      <selection activeCell="F24" sqref="F24"/>
    </sheetView>
  </sheetViews>
  <sheetFormatPr defaultRowHeight="14.4" x14ac:dyDescent="0.3"/>
  <cols>
    <col min="1" max="1" width="12.5546875" bestFit="1" customWidth="1"/>
    <col min="2" max="2" width="11.6640625" bestFit="1" customWidth="1"/>
  </cols>
  <sheetData>
    <row r="3" spans="1:2" x14ac:dyDescent="0.3">
      <c r="A3" s="2" t="s">
        <v>49</v>
      </c>
      <c r="B3" t="s">
        <v>53</v>
      </c>
    </row>
    <row r="4" spans="1:2" x14ac:dyDescent="0.3">
      <c r="A4" s="3" t="s">
        <v>27</v>
      </c>
      <c r="B4" s="1">
        <v>30000</v>
      </c>
    </row>
    <row r="5" spans="1:2" x14ac:dyDescent="0.3">
      <c r="A5" s="3" t="s">
        <v>23</v>
      </c>
      <c r="B5" s="1">
        <v>125000</v>
      </c>
    </row>
    <row r="6" spans="1:2" x14ac:dyDescent="0.3">
      <c r="A6" s="3" t="s">
        <v>25</v>
      </c>
      <c r="B6" s="1">
        <v>40000</v>
      </c>
    </row>
    <row r="7" spans="1:2" x14ac:dyDescent="0.3">
      <c r="A7" s="3" t="s">
        <v>29</v>
      </c>
      <c r="B7" s="1">
        <v>90000</v>
      </c>
    </row>
    <row r="8" spans="1:2" x14ac:dyDescent="0.3">
      <c r="A8" s="3" t="s">
        <v>50</v>
      </c>
      <c r="B8" s="1">
        <v>285000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61224-9DD8-4704-BCEC-54C1D78D1372}">
  <dimension ref="A3:B7"/>
  <sheetViews>
    <sheetView workbookViewId="0">
      <selection activeCell="M5" sqref="M5"/>
    </sheetView>
  </sheetViews>
  <sheetFormatPr defaultRowHeight="14.4" x14ac:dyDescent="0.3"/>
  <cols>
    <col min="1" max="1" width="12.5546875" bestFit="1" customWidth="1"/>
    <col min="2" max="2" width="11.6640625" bestFit="1" customWidth="1"/>
  </cols>
  <sheetData>
    <row r="3" spans="1:2" x14ac:dyDescent="0.3">
      <c r="A3" s="2" t="s">
        <v>49</v>
      </c>
      <c r="B3" t="s">
        <v>53</v>
      </c>
    </row>
    <row r="4" spans="1:2" x14ac:dyDescent="0.3">
      <c r="A4" s="3" t="s">
        <v>24</v>
      </c>
      <c r="B4" s="1">
        <v>165000</v>
      </c>
    </row>
    <row r="5" spans="1:2" x14ac:dyDescent="0.3">
      <c r="A5" s="3" t="s">
        <v>26</v>
      </c>
      <c r="B5" s="1">
        <v>90000</v>
      </c>
    </row>
    <row r="6" spans="1:2" x14ac:dyDescent="0.3">
      <c r="A6" s="3" t="s">
        <v>28</v>
      </c>
      <c r="B6" s="1">
        <v>30000</v>
      </c>
    </row>
    <row r="7" spans="1:2" x14ac:dyDescent="0.3">
      <c r="A7" s="3" t="s">
        <v>50</v>
      </c>
      <c r="B7" s="1">
        <v>285000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26EFD-5F0C-4AF0-89FE-1EE667213BB7}">
  <sheetPr>
    <tabColor rgb="FFFF0000"/>
  </sheetPr>
  <dimension ref="A5:M12"/>
  <sheetViews>
    <sheetView topLeftCell="A4" workbookViewId="0">
      <selection activeCell="L5" sqref="L5"/>
    </sheetView>
  </sheetViews>
  <sheetFormatPr defaultRowHeight="14.4" x14ac:dyDescent="0.3"/>
  <cols>
    <col min="1" max="1" width="21.44140625" customWidth="1"/>
    <col min="4" max="4" width="13.33203125" customWidth="1"/>
    <col min="7" max="7" width="13.109375" customWidth="1"/>
    <col min="8" max="8" width="11.21875" bestFit="1" customWidth="1"/>
    <col min="10" max="10" width="11.5546875" customWidth="1"/>
    <col min="14" max="14" width="18.5546875" customWidth="1"/>
    <col min="15" max="15" width="16.33203125" customWidth="1"/>
  </cols>
  <sheetData>
    <row r="5" spans="1:13" x14ac:dyDescent="0.3">
      <c r="D5" s="4" t="s">
        <v>54</v>
      </c>
      <c r="H5" s="4" t="s">
        <v>55</v>
      </c>
    </row>
    <row r="6" spans="1:13" ht="23.4" x14ac:dyDescent="0.45">
      <c r="D6" s="6" t="s">
        <v>56</v>
      </c>
      <c r="E6" s="6"/>
      <c r="F6" s="6"/>
      <c r="G6" s="6"/>
      <c r="H6" s="6">
        <f>SUM(Advanced_Data!D2:D6)</f>
        <v>285000</v>
      </c>
    </row>
    <row r="7" spans="1:13" ht="23.4" x14ac:dyDescent="0.45">
      <c r="D7" s="7" t="s">
        <v>57</v>
      </c>
      <c r="E7" s="7"/>
      <c r="F7" s="7"/>
      <c r="G7" s="7"/>
      <c r="H7" s="7">
        <f>AVERAGE(Advanced_Data!D2:D6)</f>
        <v>57000</v>
      </c>
    </row>
    <row r="8" spans="1:13" ht="23.4" x14ac:dyDescent="0.45">
      <c r="D8" s="7" t="s">
        <v>58</v>
      </c>
      <c r="E8" s="7"/>
      <c r="F8" s="7"/>
      <c r="G8" s="7"/>
      <c r="H8" s="7">
        <f>MAX(Advanced_Data!D2:D6)</f>
        <v>90000</v>
      </c>
    </row>
    <row r="9" spans="1:13" ht="23.4" x14ac:dyDescent="0.45">
      <c r="D9" s="8" t="s">
        <v>59</v>
      </c>
      <c r="E9" s="8"/>
      <c r="F9" s="8"/>
      <c r="G9" s="8"/>
      <c r="H9" s="8">
        <f>COUNT(Advanced_Data!A2:A6)</f>
        <v>5</v>
      </c>
      <c r="M9" s="5"/>
    </row>
    <row r="12" spans="1:13" x14ac:dyDescent="0.3">
      <c r="A12" s="4" t="s">
        <v>60</v>
      </c>
      <c r="K12" s="4" t="s">
        <v>61</v>
      </c>
      <c r="L12" s="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8"/>
  <sheetViews>
    <sheetView workbookViewId="0">
      <selection activeCell="G3" sqref="G3"/>
    </sheetView>
  </sheetViews>
  <sheetFormatPr defaultRowHeight="14.4" x14ac:dyDescent="0.3"/>
  <sheetData>
    <row r="1" spans="1:7" x14ac:dyDescent="0.3">
      <c r="A1" t="s">
        <v>18</v>
      </c>
      <c r="B1" t="s">
        <v>19</v>
      </c>
      <c r="C1" t="s">
        <v>20</v>
      </c>
      <c r="D1" t="s">
        <v>21</v>
      </c>
      <c r="E1" t="s">
        <v>22</v>
      </c>
    </row>
    <row r="2" spans="1:7" x14ac:dyDescent="0.3">
      <c r="A2">
        <v>1001</v>
      </c>
      <c r="B2" t="s">
        <v>23</v>
      </c>
      <c r="C2" t="s">
        <v>24</v>
      </c>
      <c r="D2">
        <v>75000</v>
      </c>
      <c r="E2">
        <v>5</v>
      </c>
      <c r="G2">
        <f>LARGE(A2:D6,1)</f>
        <v>90000</v>
      </c>
    </row>
    <row r="3" spans="1:7" x14ac:dyDescent="0.3">
      <c r="A3">
        <v>1002</v>
      </c>
      <c r="B3" t="s">
        <v>25</v>
      </c>
      <c r="C3" t="s">
        <v>26</v>
      </c>
      <c r="D3">
        <v>40000</v>
      </c>
      <c r="E3">
        <v>10</v>
      </c>
      <c r="G3">
        <f>LARGE(A1:D6,2)</f>
        <v>75000</v>
      </c>
    </row>
    <row r="4" spans="1:7" x14ac:dyDescent="0.3">
      <c r="A4">
        <v>1003</v>
      </c>
      <c r="B4" t="s">
        <v>27</v>
      </c>
      <c r="C4" t="s">
        <v>28</v>
      </c>
      <c r="D4">
        <v>30000</v>
      </c>
      <c r="E4">
        <v>6</v>
      </c>
    </row>
    <row r="5" spans="1:7" x14ac:dyDescent="0.3">
      <c r="A5">
        <v>1004</v>
      </c>
      <c r="B5" t="s">
        <v>29</v>
      </c>
      <c r="C5" t="s">
        <v>24</v>
      </c>
      <c r="D5">
        <v>90000</v>
      </c>
      <c r="E5">
        <v>7</v>
      </c>
    </row>
    <row r="6" spans="1:7" x14ac:dyDescent="0.3">
      <c r="A6">
        <v>1005</v>
      </c>
      <c r="B6" t="s">
        <v>23</v>
      </c>
      <c r="C6" t="s">
        <v>26</v>
      </c>
      <c r="D6">
        <v>50000</v>
      </c>
      <c r="E6">
        <v>12</v>
      </c>
    </row>
    <row r="7" spans="1:7" x14ac:dyDescent="0.3">
      <c r="D7" t="s">
        <v>51</v>
      </c>
    </row>
    <row r="8" spans="1:7" x14ac:dyDescent="0.3">
      <c r="D8">
        <f>SUM(D2:D6)</f>
        <v>285000</v>
      </c>
    </row>
  </sheetData>
  <conditionalFormatting sqref="D2:D6">
    <cfRule type="top10" dxfId="0" priority="1" rank="2"/>
  </conditionalFormatting>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7"/>
  <sheetViews>
    <sheetView workbookViewId="0">
      <selection activeCell="L13" sqref="L13"/>
    </sheetView>
  </sheetViews>
  <sheetFormatPr defaultRowHeight="14.4" x14ac:dyDescent="0.3"/>
  <sheetData>
    <row r="1" spans="1:1" x14ac:dyDescent="0.3">
      <c r="A1" t="s">
        <v>30</v>
      </c>
    </row>
    <row r="2" spans="1:1" x14ac:dyDescent="0.3">
      <c r="A2" t="s">
        <v>31</v>
      </c>
    </row>
    <row r="3" spans="1:1" x14ac:dyDescent="0.3">
      <c r="A3" t="s">
        <v>32</v>
      </c>
    </row>
    <row r="4" spans="1:1" x14ac:dyDescent="0.3">
      <c r="A4" t="s">
        <v>33</v>
      </c>
    </row>
    <row r="5" spans="1:1" x14ac:dyDescent="0.3">
      <c r="A5" t="s">
        <v>34</v>
      </c>
    </row>
    <row r="7" spans="1:1" x14ac:dyDescent="0.3">
      <c r="A7" t="s">
        <v>35</v>
      </c>
    </row>
    <row r="8" spans="1:1" x14ac:dyDescent="0.3">
      <c r="A8" t="s">
        <v>36</v>
      </c>
    </row>
    <row r="9" spans="1:1" x14ac:dyDescent="0.3">
      <c r="A9" t="s">
        <v>37</v>
      </c>
    </row>
    <row r="10" spans="1:1" x14ac:dyDescent="0.3">
      <c r="A10" t="s">
        <v>38</v>
      </c>
    </row>
    <row r="11" spans="1:1" x14ac:dyDescent="0.3">
      <c r="A11" t="s">
        <v>39</v>
      </c>
    </row>
    <row r="13" spans="1:1" x14ac:dyDescent="0.3">
      <c r="A13" t="s">
        <v>40</v>
      </c>
    </row>
    <row r="14" spans="1:1" x14ac:dyDescent="0.3">
      <c r="A14" t="s">
        <v>41</v>
      </c>
    </row>
    <row r="15" spans="1:1" x14ac:dyDescent="0.3">
      <c r="A15" t="s">
        <v>42</v>
      </c>
    </row>
    <row r="16" spans="1:1" x14ac:dyDescent="0.3">
      <c r="A16" t="s">
        <v>43</v>
      </c>
    </row>
    <row r="17" spans="1:1" x14ac:dyDescent="0.3">
      <c r="A17" t="s">
        <v>44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Basic_Data</vt:lpstr>
      <vt:lpstr>Intermediate_Data</vt:lpstr>
      <vt:lpstr>Sheet6</vt:lpstr>
      <vt:lpstr>Sheet7</vt:lpstr>
      <vt:lpstr>Sheet8</vt:lpstr>
      <vt:lpstr>Dashboard sheet </vt:lpstr>
      <vt:lpstr>Advanced_Data</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Aashirwad Madaan</cp:lastModifiedBy>
  <dcterms:created xsi:type="dcterms:W3CDTF">2026-03-03T07:30:40Z</dcterms:created>
  <dcterms:modified xsi:type="dcterms:W3CDTF">2026-03-08T11:00:36Z</dcterms:modified>
</cp:coreProperties>
</file>